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23\Downloads\"/>
    </mc:Choice>
  </mc:AlternateContent>
  <xr:revisionPtr revIDLastSave="0" documentId="13_ncr:1_{D83A7B02-D99C-44AA-AE6B-7FF5186E4E69}" xr6:coauthVersionLast="47" xr6:coauthVersionMax="47" xr10:uidLastSave="{00000000-0000-0000-0000-000000000000}"/>
  <bookViews>
    <workbookView xWindow="-120" yWindow="-120" windowWidth="29040" windowHeight="15840" xr2:uid="{40D2EA40-F695-4276-885A-78D6CD00B7B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F3" i="1" s="1"/>
  <c r="D4" i="1"/>
  <c r="F4" i="1" s="1"/>
  <c r="E4" i="1" s="1"/>
  <c r="D5" i="1"/>
  <c r="F5" i="1" s="1"/>
  <c r="E5" i="1" s="1"/>
  <c r="D6" i="1"/>
  <c r="F6" i="1" s="1"/>
  <c r="E6" i="1" s="1"/>
  <c r="D7" i="1"/>
  <c r="F7" i="1" s="1"/>
  <c r="D8" i="1"/>
  <c r="F8" i="1" s="1"/>
  <c r="E7" i="1" l="1"/>
  <c r="E8" i="1"/>
  <c r="E3" i="1"/>
</calcChain>
</file>

<file path=xl/sharedStrings.xml><?xml version="1.0" encoding="utf-8"?>
<sst xmlns="http://schemas.openxmlformats.org/spreadsheetml/2006/main" count="15" uniqueCount="14">
  <si>
    <t>開始時間</t>
    <phoneticPr fontId="1" type="noConversion"/>
  </si>
  <si>
    <t>結束時間</t>
    <phoneticPr fontId="1" type="noConversion"/>
  </si>
  <si>
    <t>持續時間</t>
    <phoneticPr fontId="1" type="noConversion"/>
  </si>
  <si>
    <t>未完成</t>
    <phoneticPr fontId="1" type="noConversion"/>
  </si>
  <si>
    <t>已完成</t>
    <phoneticPr fontId="1" type="noConversion"/>
  </si>
  <si>
    <t>進度</t>
    <phoneticPr fontId="1" type="noConversion"/>
  </si>
  <si>
    <t>可以改的</t>
  </si>
  <si>
    <t>不要動的</t>
  </si>
  <si>
    <t>資料庫建置</t>
    <phoneticPr fontId="1" type="noConversion"/>
  </si>
  <si>
    <t>架設伺服器</t>
    <phoneticPr fontId="1" type="noConversion"/>
  </si>
  <si>
    <r>
      <rPr>
        <sz val="12"/>
        <color theme="1"/>
        <rFont val="Arial"/>
        <family val="2"/>
      </rPr>
      <t>Android app</t>
    </r>
    <r>
      <rPr>
        <sz val="12"/>
        <color theme="1"/>
        <rFont val="新細明體"/>
        <family val="2"/>
        <charset val="136"/>
        <scheme val="minor"/>
      </rPr>
      <t>開發</t>
    </r>
    <phoneticPr fontId="1" type="noConversion"/>
  </si>
  <si>
    <t>系統整合</t>
    <phoneticPr fontId="1" type="noConversion"/>
  </si>
  <si>
    <t>語音前處理模組</t>
    <phoneticPr fontId="1" type="noConversion"/>
  </si>
  <si>
    <t>deepfake檢測模組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</si>
</sst>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Noto Sans TC Black" panose="020B0200000000000000" pitchFamily="34" charset="-128"/>
                <a:cs typeface="+mn-cs"/>
              </a:defRPr>
            </a:pPr>
            <a:r>
              <a:rPr lang="zh-TW"/>
              <a:t>甘特圖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Noto Sans TC Black" panose="020B0200000000000000" pitchFamily="34" charset="-128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6813163234823206"/>
          <c:y val="0.18558566006020902"/>
          <c:w val="0.69450567913603911"/>
          <c:h val="0.67894698791393593"/>
        </c:manualLayout>
      </c:layout>
      <c:barChart>
        <c:barDir val="bar"/>
        <c:grouping val="stacked"/>
        <c:varyColors val="0"/>
        <c:ser>
          <c:idx val="0"/>
          <c:order val="0"/>
          <c:tx>
            <c:v> </c:v>
          </c:tx>
          <c:spPr>
            <a:noFill/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工作表1!$A$3:$A$8</c15:sqref>
                  </c15:fullRef>
                </c:ext>
              </c:extLst>
              <c:f>工作表1!$A$3:$A$8</c:f>
              <c:strCache>
                <c:ptCount val="6"/>
                <c:pt idx="0">
                  <c:v>語音前處理模組</c:v>
                </c:pt>
                <c:pt idx="1">
                  <c:v>deepfake檢測模組</c:v>
                </c:pt>
                <c:pt idx="2">
                  <c:v>Android app開發</c:v>
                </c:pt>
                <c:pt idx="3">
                  <c:v>資料庫建置</c:v>
                </c:pt>
                <c:pt idx="4">
                  <c:v>架設伺服器</c:v>
                </c:pt>
                <c:pt idx="5">
                  <c:v>系統整合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工作表1!$B$3:$B$15</c15:sqref>
                  </c15:fullRef>
                </c:ext>
              </c:extLst>
              <c:f>工作表1!$B$3:$B$8</c:f>
              <c:numCache>
                <c:formatCode>m/d/yyyy</c:formatCode>
                <c:ptCount val="6"/>
                <c:pt idx="0">
                  <c:v>45991</c:v>
                </c:pt>
                <c:pt idx="1">
                  <c:v>45991</c:v>
                </c:pt>
                <c:pt idx="2">
                  <c:v>45976</c:v>
                </c:pt>
                <c:pt idx="3">
                  <c:v>46084</c:v>
                </c:pt>
                <c:pt idx="4">
                  <c:v>46051</c:v>
                </c:pt>
                <c:pt idx="5">
                  <c:v>46121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6-45ED-9A88-F243D13CA1CD}"/>
            </c:ext>
          </c:extLst>
        </c:ser>
        <c:ser>
          <c:idx val="2"/>
          <c:order val="1"/>
          <c:tx>
            <c:strRef>
              <c:f>工作表1!$F$2</c:f>
              <c:strCache>
                <c:ptCount val="1"/>
                <c:pt idx="0">
                  <c:v>已完成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工作表1!$A$3:$A$8</c15:sqref>
                  </c15:fullRef>
                </c:ext>
              </c:extLst>
              <c:f>工作表1!$A$3:$A$8</c:f>
              <c:strCache>
                <c:ptCount val="6"/>
                <c:pt idx="0">
                  <c:v>語音前處理模組</c:v>
                </c:pt>
                <c:pt idx="1">
                  <c:v>deepfake檢測模組</c:v>
                </c:pt>
                <c:pt idx="2">
                  <c:v>Android app開發</c:v>
                </c:pt>
                <c:pt idx="3">
                  <c:v>資料庫建置</c:v>
                </c:pt>
                <c:pt idx="4">
                  <c:v>架設伺服器</c:v>
                </c:pt>
                <c:pt idx="5">
                  <c:v>系統整合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工作表1!$F$3:$F$8</c15:sqref>
                  </c15:fullRef>
                </c:ext>
              </c:extLst>
              <c:f>工作表1!$F$3:$F$8</c:f>
              <c:numCache>
                <c:formatCode>General</c:formatCode>
                <c:ptCount val="6"/>
                <c:pt idx="0">
                  <c:v>51</c:v>
                </c:pt>
                <c:pt idx="1">
                  <c:v>129</c:v>
                </c:pt>
                <c:pt idx="2">
                  <c:v>189</c:v>
                </c:pt>
                <c:pt idx="3">
                  <c:v>79</c:v>
                </c:pt>
                <c:pt idx="4">
                  <c:v>112</c:v>
                </c:pt>
                <c:pt idx="5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D6-45ED-9A88-F243D13CA1CD}"/>
            </c:ext>
          </c:extLst>
        </c:ser>
        <c:ser>
          <c:idx val="1"/>
          <c:order val="2"/>
          <c:tx>
            <c:strRef>
              <c:f>工作表1!$E$2</c:f>
              <c:strCache>
                <c:ptCount val="1"/>
                <c:pt idx="0">
                  <c:v>未完成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bg2">
                  <a:lumMod val="90000"/>
                </a:schemeClr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工作表1!$A$3:$A$8</c15:sqref>
                  </c15:fullRef>
                </c:ext>
              </c:extLst>
              <c:f>工作表1!$A$3:$A$8</c:f>
              <c:strCache>
                <c:ptCount val="6"/>
                <c:pt idx="0">
                  <c:v>語音前處理模組</c:v>
                </c:pt>
                <c:pt idx="1">
                  <c:v>deepfake檢測模組</c:v>
                </c:pt>
                <c:pt idx="2">
                  <c:v>Android app開發</c:v>
                </c:pt>
                <c:pt idx="3">
                  <c:v>資料庫建置</c:v>
                </c:pt>
                <c:pt idx="4">
                  <c:v>架設伺服器</c:v>
                </c:pt>
                <c:pt idx="5">
                  <c:v>系統整合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工作表1!$E$3:$E$15</c15:sqref>
                  </c15:fullRef>
                </c:ext>
              </c:extLst>
              <c:f>工作表1!$E$3:$E$8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D6-45ED-9A88-F243D13CA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4145712"/>
        <c:axId val="1704147152"/>
      </c:barChart>
      <c:catAx>
        <c:axId val="170414571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Noto Sans TC Black" panose="020B0200000000000000" pitchFamily="34" charset="-128"/>
                <a:cs typeface="+mn-cs"/>
              </a:defRPr>
            </a:pPr>
            <a:endParaRPr lang="zh-TW"/>
          </a:p>
        </c:txPr>
        <c:crossAx val="1704147152"/>
        <c:crosses val="autoZero"/>
        <c:auto val="1"/>
        <c:lblAlgn val="ctr"/>
        <c:lblOffset val="100"/>
        <c:noMultiLvlLbl val="0"/>
      </c:catAx>
      <c:valAx>
        <c:axId val="1704147152"/>
        <c:scaling>
          <c:orientation val="minMax"/>
          <c:max val="46172"/>
          <c:min val="45950"/>
        </c:scaling>
        <c:delete val="0"/>
        <c:axPos val="t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m/d/yyyy" sourceLinked="0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Noto Sans TC Black" panose="020B0200000000000000" pitchFamily="34" charset="-128"/>
                <a:cs typeface="+mn-cs"/>
              </a:defRPr>
            </a:pPr>
            <a:endParaRPr lang="zh-TW"/>
          </a:p>
        </c:txPr>
        <c:crossAx val="1704145712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847818421787848"/>
          <c:y val="0.37431688706033167"/>
          <c:w val="0.11367821119257041"/>
          <c:h val="0.230219892363386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Noto Sans TC Black" panose="020B0200000000000000" pitchFamily="34" charset="-128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anchor="ctr" anchorCtr="1"/>
    <a:lstStyle/>
    <a:p>
      <a:pPr>
        <a:defRPr baseline="0">
          <a:ln>
            <a:noFill/>
          </a:ln>
          <a:solidFill>
            <a:schemeClr val="tx1"/>
          </a:solidFill>
          <a:ea typeface="Noto Sans TC Black" panose="020B0200000000000000" pitchFamily="34" charset="-128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34</xdr:row>
      <xdr:rowOff>152399</xdr:rowOff>
    </xdr:from>
    <xdr:to>
      <xdr:col>16</xdr:col>
      <xdr:colOff>790575</xdr:colOff>
      <xdr:row>57</xdr:row>
      <xdr:rowOff>104774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522B161-E2E3-A28F-23E2-A59DE45EC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F26C6-5FF5-4B76-8126-A0EEB9AC9B86}">
  <dimension ref="A1:R16"/>
  <sheetViews>
    <sheetView tabSelected="1" zoomScaleNormal="100" workbookViewId="0">
      <selection activeCell="C6" sqref="C6"/>
    </sheetView>
  </sheetViews>
  <sheetFormatPr defaultRowHeight="16.5" x14ac:dyDescent="0.25"/>
  <cols>
    <col min="1" max="1" width="20.625" customWidth="1"/>
    <col min="2" max="3" width="10.625" bestFit="1" customWidth="1"/>
    <col min="4" max="4" width="10.5" bestFit="1" customWidth="1"/>
    <col min="7" max="7" width="8.875" bestFit="1" customWidth="1"/>
    <col min="17" max="17" width="10.625" bestFit="1" customWidth="1"/>
  </cols>
  <sheetData>
    <row r="1" spans="1:18" x14ac:dyDescent="0.25">
      <c r="B1" s="5" t="s">
        <v>6</v>
      </c>
      <c r="C1" s="5"/>
      <c r="D1" s="5" t="s">
        <v>7</v>
      </c>
      <c r="E1" s="5"/>
      <c r="F1" s="5"/>
      <c r="G1" t="s">
        <v>6</v>
      </c>
    </row>
    <row r="2" spans="1:1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18" x14ac:dyDescent="0.25">
      <c r="A3" t="s">
        <v>12</v>
      </c>
      <c r="B3" s="1">
        <v>45991</v>
      </c>
      <c r="C3" s="1">
        <v>46042</v>
      </c>
      <c r="D3">
        <f t="shared" ref="D3:D8" si="0">C3-B3</f>
        <v>51</v>
      </c>
      <c r="E3">
        <f t="shared" ref="E3:E8" si="1">D3-F3</f>
        <v>0</v>
      </c>
      <c r="F3">
        <f t="shared" ref="F3:F8" si="2">D3*G3</f>
        <v>51</v>
      </c>
      <c r="G3" s="2">
        <v>1</v>
      </c>
    </row>
    <row r="4" spans="1:18" x14ac:dyDescent="0.25">
      <c r="A4" t="s">
        <v>13</v>
      </c>
      <c r="B4" s="1">
        <v>45991</v>
      </c>
      <c r="C4" s="1">
        <v>46120</v>
      </c>
      <c r="D4">
        <f t="shared" si="0"/>
        <v>129</v>
      </c>
      <c r="E4">
        <f t="shared" si="1"/>
        <v>0</v>
      </c>
      <c r="F4">
        <f t="shared" si="2"/>
        <v>129</v>
      </c>
      <c r="G4" s="2">
        <v>1</v>
      </c>
    </row>
    <row r="5" spans="1:18" x14ac:dyDescent="0.25">
      <c r="A5" s="4" t="s">
        <v>10</v>
      </c>
      <c r="B5" s="1">
        <v>45976</v>
      </c>
      <c r="C5" s="1">
        <v>46165</v>
      </c>
      <c r="D5">
        <f t="shared" si="0"/>
        <v>189</v>
      </c>
      <c r="E5">
        <f t="shared" si="1"/>
        <v>0</v>
      </c>
      <c r="F5">
        <f t="shared" si="2"/>
        <v>189</v>
      </c>
      <c r="G5" s="2">
        <v>1</v>
      </c>
    </row>
    <row r="6" spans="1:18" x14ac:dyDescent="0.25">
      <c r="A6" t="s">
        <v>8</v>
      </c>
      <c r="B6" s="1">
        <v>46084</v>
      </c>
      <c r="C6" s="1">
        <v>46163</v>
      </c>
      <c r="D6">
        <f t="shared" si="0"/>
        <v>79</v>
      </c>
      <c r="E6">
        <f t="shared" si="1"/>
        <v>0</v>
      </c>
      <c r="F6">
        <f t="shared" si="2"/>
        <v>79</v>
      </c>
      <c r="G6" s="2">
        <v>1</v>
      </c>
    </row>
    <row r="7" spans="1:18" x14ac:dyDescent="0.25">
      <c r="A7" t="s">
        <v>9</v>
      </c>
      <c r="B7" s="1">
        <v>46051</v>
      </c>
      <c r="C7" s="1">
        <v>46163</v>
      </c>
      <c r="D7">
        <f t="shared" si="0"/>
        <v>112</v>
      </c>
      <c r="E7">
        <f t="shared" si="1"/>
        <v>0</v>
      </c>
      <c r="F7">
        <f t="shared" si="2"/>
        <v>112</v>
      </c>
      <c r="G7" s="2">
        <v>1</v>
      </c>
    </row>
    <row r="8" spans="1:18" x14ac:dyDescent="0.25">
      <c r="A8" t="s">
        <v>11</v>
      </c>
      <c r="B8" s="1">
        <v>46121</v>
      </c>
      <c r="C8" s="1">
        <v>46168</v>
      </c>
      <c r="D8">
        <f t="shared" si="0"/>
        <v>47</v>
      </c>
      <c r="E8">
        <f t="shared" si="1"/>
        <v>0</v>
      </c>
      <c r="F8">
        <f t="shared" si="2"/>
        <v>47</v>
      </c>
      <c r="G8" s="2">
        <v>1</v>
      </c>
    </row>
    <row r="10" spans="1:18" ht="15.75" customHeight="1" x14ac:dyDescent="0.25"/>
    <row r="11" spans="1:18" x14ac:dyDescent="0.25">
      <c r="R11" s="3"/>
    </row>
    <row r="16" spans="1:18" x14ac:dyDescent="0.25">
      <c r="Q16" s="3"/>
    </row>
  </sheetData>
  <mergeCells count="2">
    <mergeCell ref="B1:C1"/>
    <mergeCell ref="D1:F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陳慈祐</dc:creator>
  <cp:lastModifiedBy>至峻</cp:lastModifiedBy>
  <dcterms:created xsi:type="dcterms:W3CDTF">2025-12-10T03:14:51Z</dcterms:created>
  <dcterms:modified xsi:type="dcterms:W3CDTF">2026-05-26T14:03:50Z</dcterms:modified>
</cp:coreProperties>
</file>